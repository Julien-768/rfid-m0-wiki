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enaud\Documents\02 - Projet Antenne-Terrier\05 - Documents\2023.04.26 - Estimation conso &amp; autonomie\"/>
    </mc:Choice>
  </mc:AlternateContent>
  <bookViews>
    <workbookView xWindow="0" yWindow="0" windowWidth="28800" windowHeight="13680"/>
  </bookViews>
  <sheets>
    <sheet name="Feuil1" sheetId="2" r:id="rId1"/>
  </sheets>
  <definedNames>
    <definedName name="Feather_cons">#REF!</definedName>
    <definedName name="IR_emit">#REF!</definedName>
    <definedName name="IR_rec">#REF!</definedName>
    <definedName name="Regulator3V3">#REF!</definedName>
    <definedName name="RFID_read">#REF!</definedName>
    <definedName name="RFID_search">#REF!</definedName>
    <definedName name="RFID_standb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2" l="1"/>
  <c r="H36" i="2" s="1"/>
  <c r="H31" i="2"/>
  <c r="E31" i="2"/>
  <c r="H35" i="2" l="1"/>
  <c r="D38" i="2"/>
  <c r="H22" i="2" l="1"/>
  <c r="H32" i="2"/>
  <c r="H33" i="2"/>
  <c r="E37" i="2"/>
  <c r="D37" i="2"/>
  <c r="E36" i="2"/>
  <c r="D36" i="2"/>
  <c r="E35" i="2"/>
  <c r="D35" i="2"/>
  <c r="G35" i="2" s="1"/>
  <c r="E34" i="2"/>
  <c r="D34" i="2"/>
  <c r="G8" i="2"/>
  <c r="G9" i="2"/>
  <c r="G10" i="2"/>
  <c r="G11" i="2"/>
  <c r="G12" i="2"/>
  <c r="G13" i="2"/>
  <c r="G7" i="2"/>
  <c r="E32" i="2"/>
  <c r="D33" i="2"/>
  <c r="D32" i="2"/>
  <c r="D31" i="2"/>
  <c r="G31" i="2" s="1"/>
  <c r="G38" i="2" l="1"/>
  <c r="E33" i="2"/>
  <c r="G33" i="2" s="1"/>
  <c r="I33" i="2" s="1"/>
  <c r="G34" i="2"/>
  <c r="I34" i="2" s="1"/>
  <c r="G36" i="2"/>
  <c r="I36" i="2" s="1"/>
  <c r="G37" i="2"/>
  <c r="I37" i="2" s="1"/>
  <c r="I35" i="2"/>
  <c r="G32" i="2"/>
  <c r="I32" i="2" s="1"/>
  <c r="I31" i="2" l="1"/>
  <c r="I38" i="2" s="1"/>
  <c r="D40" i="2" l="1"/>
  <c r="L38" i="2" s="1"/>
  <c r="L31" i="2" l="1"/>
  <c r="L32" i="2"/>
  <c r="L35" i="2"/>
  <c r="L33" i="2"/>
  <c r="L37" i="2"/>
  <c r="L36" i="2"/>
  <c r="L34" i="2"/>
  <c r="D41" i="2"/>
</calcChain>
</file>

<file path=xl/comments1.xml><?xml version="1.0" encoding="utf-8"?>
<comments xmlns="http://schemas.openxmlformats.org/spreadsheetml/2006/main">
  <authors>
    <author>benjamin tenaud</author>
  </authors>
  <commentList>
    <comment ref="M7" authorId="0" shapeId="0">
      <text>
        <r>
          <rPr>
            <sz val="9"/>
            <color indexed="81"/>
            <rFont val="Tahoma"/>
            <family val="2"/>
          </rPr>
          <t xml:space="preserve">Source :
https://www.ti.com/lit/ds/symlink/tps61090.pdf?ts=1682495184791&amp;ref_url=https%253A%252F%252Fwww.ti.com%252Fproduct%252FTPS61090
</t>
        </r>
      </text>
    </comment>
    <comment ref="M8" authorId="0" shapeId="0">
      <text>
        <r>
          <rPr>
            <sz val="9"/>
            <color indexed="81"/>
            <rFont val="Tahoma"/>
            <family val="2"/>
          </rPr>
          <t>Source :
https://www.mouser.fr/datasheet/2/942/SF_JCE06-1508846.pdf</t>
        </r>
      </text>
    </comment>
    <comment ref="E33" authorId="0" shapeId="0">
      <text>
        <r>
          <rPr>
            <sz val="9"/>
            <color indexed="81"/>
            <rFont val="Tahoma"/>
            <charset val="1"/>
          </rPr>
          <t xml:space="preserve">Current = leakage current of component + Equivalent dissipated current
Equivalent dissipated current = Power dissipated by regulator / Input voltage 
Power dissipated by regulator = ΔU x I consumed by emitter &amp; receiver
</t>
        </r>
      </text>
    </comment>
    <comment ref="G38" authorId="0" shapeId="0">
      <text>
        <r>
          <rPr>
            <sz val="9"/>
            <color indexed="81"/>
            <rFont val="Tahoma"/>
            <family val="2"/>
          </rPr>
          <t>Power consumed = Leakage current x Input voltage + Power provided / (1 - Efficiency)
This is the max power provided : We consider the RFID reader inthe mode where its consumption is the highest.</t>
        </r>
      </text>
    </comment>
    <comment ref="I38" authorId="0" shapeId="0">
      <text>
        <r>
          <rPr>
            <sz val="9"/>
            <color indexed="81"/>
            <rFont val="Tahoma"/>
            <family val="2"/>
          </rPr>
          <t>Energy consumed = Leakage current x Input voltage x Duration + Energy provided / (1 - Efficiency)
The power consumption cannot be directly used for this calculation, as the power board does not provide this power all the time (it's only the max)</t>
        </r>
      </text>
    </comment>
  </commentList>
</comments>
</file>

<file path=xl/sharedStrings.xml><?xml version="1.0" encoding="utf-8"?>
<sst xmlns="http://schemas.openxmlformats.org/spreadsheetml/2006/main" count="60" uniqueCount="48">
  <si>
    <t>Component</t>
  </si>
  <si>
    <t>Feather + RTC</t>
  </si>
  <si>
    <t>RFID reader &amp; antenna - Standby</t>
  </si>
  <si>
    <t>RFID reader &amp; antenna - Research</t>
  </si>
  <si>
    <t>RFID reader &amp; antenna - Reading</t>
  </si>
  <si>
    <t>Number of detection per hour</t>
  </si>
  <si>
    <t>Time of detection [s]</t>
  </si>
  <si>
    <t>Battery capacity [Ah]</t>
  </si>
  <si>
    <t>|- Including RFID time reading [s]</t>
  </si>
  <si>
    <t>Autonomy</t>
  </si>
  <si>
    <t>Detection hypothesis</t>
  </si>
  <si>
    <t>SYSTEM CONSUMPTION &amp; AUTONOMY</t>
  </si>
  <si>
    <t>1 IR receiver</t>
  </si>
  <si>
    <t>Available energy [Wh]</t>
  </si>
  <si>
    <t>Nominal voltage [V]</t>
  </si>
  <si>
    <t>opt_IR_1</t>
  </si>
  <si>
    <t>opt_IR_2</t>
  </si>
  <si>
    <t>opt_temp_prec</t>
  </si>
  <si>
    <t>mode_time_period</t>
  </si>
  <si>
    <t>start_time</t>
  </si>
  <si>
    <t>stop_time</t>
  </si>
  <si>
    <t>Supply voltage [V]</t>
  </si>
  <si>
    <t>SOFTWARE CONFIGURATION</t>
  </si>
  <si>
    <t>Powerboost + USB charger</t>
  </si>
  <si>
    <t>2 x IR emitter</t>
  </si>
  <si>
    <t>2 x IR receiver</t>
  </si>
  <si>
    <t>3.3v regulator</t>
  </si>
  <si>
    <t>Power consumption [mW]</t>
  </si>
  <si>
    <t>Energy consumption [mW.h]</t>
  </si>
  <si>
    <t>Contribution</t>
  </si>
  <si>
    <t>Total consumption [W.h]</t>
  </si>
  <si>
    <t>PARAMETERS</t>
  </si>
  <si>
    <t>AVAILABLE ENERGY</t>
  </si>
  <si>
    <t>DETECTION HYPOTHESIS</t>
  </si>
  <si>
    <t>Current [mA]</t>
  </si>
  <si>
    <t>CALCULATION</t>
  </si>
  <si>
    <r>
      <t>MEASUREMENTS</t>
    </r>
    <r>
      <rPr>
        <i/>
        <sz val="11"/>
        <color theme="1"/>
        <rFont val="Calibri"/>
        <family val="2"/>
        <scheme val="minor"/>
      </rPr>
      <t xml:space="preserve"> (T = 20°c)</t>
    </r>
  </si>
  <si>
    <t>1 IR emitter *</t>
  </si>
  <si>
    <t>* PWM duty cycle = 50%</t>
  </si>
  <si>
    <t>Efficiency</t>
  </si>
  <si>
    <t>%</t>
  </si>
  <si>
    <t>JCE0612S05  Converter</t>
  </si>
  <si>
    <t>Power board</t>
  </si>
  <si>
    <t>DATASHEET</t>
  </si>
  <si>
    <t>Value</t>
  </si>
  <si>
    <t>Unit</t>
  </si>
  <si>
    <t>Characteristic</t>
  </si>
  <si>
    <t>Duration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</si>
</sst>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4" fillId="0" borderId="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6" fillId="0" borderId="0" xfId="0" applyFont="1" applyFill="1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3" fillId="0" borderId="4" xfId="0" applyFont="1" applyFill="1" applyBorder="1" applyAlignment="1">
      <alignment horizontal="center" vertical="center"/>
    </xf>
    <xf numFmtId="0" fontId="8" fillId="0" borderId="1" xfId="0" applyFont="1" applyBorder="1"/>
    <xf numFmtId="0" fontId="1" fillId="4" borderId="0" xfId="0" applyFont="1" applyFill="1" applyBorder="1" applyAlignment="1">
      <alignment horizontal="center" vertical="center"/>
    </xf>
    <xf numFmtId="0" fontId="0" fillId="0" borderId="12" xfId="0" applyBorder="1"/>
    <xf numFmtId="2" fontId="0" fillId="0" borderId="4" xfId="0" applyNumberForma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2" fillId="7" borderId="8" xfId="0" applyFont="1" applyFill="1" applyBorder="1"/>
    <xf numFmtId="0" fontId="2" fillId="7" borderId="10" xfId="0" applyFont="1" applyFill="1" applyBorder="1"/>
    <xf numFmtId="2" fontId="1" fillId="6" borderId="4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2" fontId="0" fillId="0" borderId="4" xfId="0" applyNumberFormat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2" fontId="1" fillId="6" borderId="4" xfId="0" applyNumberFormat="1" applyFont="1" applyFill="1" applyBorder="1" applyAlignment="1">
      <alignment horizontal="center" vertical="center"/>
    </xf>
    <xf numFmtId="2" fontId="10" fillId="6" borderId="4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Consumption</a:t>
            </a:r>
            <a:r>
              <a:rPr lang="fr-FR" b="1" baseline="0"/>
              <a:t> contribution [%]</a:t>
            </a:r>
            <a:endParaRPr lang="fr-F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Feuil1!$B$31:$C$38</c:f>
              <c:strCache>
                <c:ptCount val="8"/>
                <c:pt idx="0">
                  <c:v>2 x IR emitter</c:v>
                </c:pt>
                <c:pt idx="1">
                  <c:v>2 x IR receiver</c:v>
                </c:pt>
                <c:pt idx="2">
                  <c:v>3.3v regulator</c:v>
                </c:pt>
                <c:pt idx="3">
                  <c:v>Feather + RTC</c:v>
                </c:pt>
                <c:pt idx="4">
                  <c:v>RFID reader &amp; antenna - Standby</c:v>
                </c:pt>
                <c:pt idx="5">
                  <c:v>RFID reader &amp; antenna - Research</c:v>
                </c:pt>
                <c:pt idx="6">
                  <c:v>RFID reader &amp; antenna - Reading</c:v>
                </c:pt>
                <c:pt idx="7">
                  <c:v>Power board</c:v>
                </c:pt>
              </c:strCache>
            </c:strRef>
          </c:cat>
          <c:val>
            <c:numRef>
              <c:f>Feuil1!$L$31:$L$38</c:f>
              <c:numCache>
                <c:formatCode>0%</c:formatCode>
                <c:ptCount val="8"/>
                <c:pt idx="0">
                  <c:v>0.12999515572906273</c:v>
                </c:pt>
                <c:pt idx="1">
                  <c:v>1.0832929644088564E-2</c:v>
                </c:pt>
                <c:pt idx="2">
                  <c:v>0.18539081868178839</c:v>
                </c:pt>
                <c:pt idx="3">
                  <c:v>0.26671985866127146</c:v>
                </c:pt>
                <c:pt idx="4">
                  <c:v>0.30547402615906311</c:v>
                </c:pt>
                <c:pt idx="5">
                  <c:v>8.8336705325848433E-2</c:v>
                </c:pt>
                <c:pt idx="6">
                  <c:v>1.3250505798877267E-2</c:v>
                </c:pt>
                <c:pt idx="7">
                  <c:v>0.20999999999999994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A-489A-A09A-FED898E5D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912920"/>
        <c:axId val="502903736"/>
      </c:barChart>
      <c:catAx>
        <c:axId val="50291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903736"/>
        <c:crosses val="autoZero"/>
        <c:auto val="1"/>
        <c:lblAlgn val="ctr"/>
        <c:lblOffset val="100"/>
        <c:noMultiLvlLbl val="0"/>
      </c:catAx>
      <c:valAx>
        <c:axId val="502903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912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41</xdr:row>
      <xdr:rowOff>104774</xdr:rowOff>
    </xdr:from>
    <xdr:to>
      <xdr:col>10</xdr:col>
      <xdr:colOff>266700</xdr:colOff>
      <xdr:row>59</xdr:row>
      <xdr:rowOff>152399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41"/>
  <sheetViews>
    <sheetView showGridLines="0" tabSelected="1" workbookViewId="0"/>
  </sheetViews>
  <sheetFormatPr baseColWidth="10" defaultRowHeight="15" x14ac:dyDescent="0.25"/>
  <cols>
    <col min="1" max="1" width="6" customWidth="1"/>
    <col min="2" max="2" width="4" customWidth="1"/>
    <col min="3" max="3" width="35.28515625" customWidth="1"/>
    <col min="4" max="4" width="19.140625" customWidth="1"/>
    <col min="5" max="5" width="20.5703125" customWidth="1"/>
    <col min="6" max="6" width="4.140625" customWidth="1"/>
    <col min="7" max="7" width="26.7109375" customWidth="1"/>
    <col min="8" max="8" width="12.85546875" customWidth="1"/>
    <col min="9" max="9" width="3.7109375" customWidth="1"/>
    <col min="10" max="10" width="20.7109375" customWidth="1"/>
    <col min="11" max="11" width="5.42578125" customWidth="1"/>
    <col min="12" max="12" width="31.42578125" customWidth="1"/>
    <col min="14" max="14" width="7.140625" customWidth="1"/>
    <col min="15" max="15" width="6.7109375" customWidth="1"/>
  </cols>
  <sheetData>
    <row r="1" spans="2:15" ht="15.75" thickBot="1" x14ac:dyDescent="0.3"/>
    <row r="2" spans="2:15" ht="45.75" customHeight="1" thickBot="1" x14ac:dyDescent="0.3">
      <c r="B2" s="42" t="s">
        <v>11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/>
    </row>
    <row r="4" spans="2:15" ht="18.75" x14ac:dyDescent="0.3">
      <c r="B4" s="8" t="s">
        <v>36</v>
      </c>
      <c r="C4" s="18"/>
      <c r="D4" s="1"/>
      <c r="E4" s="1"/>
      <c r="F4" s="1"/>
      <c r="G4" s="1"/>
      <c r="H4" s="1"/>
      <c r="I4" s="1"/>
      <c r="J4" s="8" t="s">
        <v>43</v>
      </c>
      <c r="K4" s="1"/>
      <c r="L4" s="1"/>
      <c r="M4" s="1"/>
      <c r="N4" s="1"/>
      <c r="O4" s="1"/>
    </row>
    <row r="6" spans="2:15" x14ac:dyDescent="0.25">
      <c r="B6" s="37" t="s">
        <v>0</v>
      </c>
      <c r="C6" s="38"/>
      <c r="D6" s="22" t="s">
        <v>21</v>
      </c>
      <c r="E6" s="63" t="s">
        <v>34</v>
      </c>
      <c r="F6" s="63"/>
      <c r="G6" s="23" t="s">
        <v>27</v>
      </c>
      <c r="J6" s="37" t="s">
        <v>0</v>
      </c>
      <c r="K6" s="38"/>
      <c r="L6" s="30" t="s">
        <v>46</v>
      </c>
      <c r="M6" s="33" t="s">
        <v>44</v>
      </c>
      <c r="N6" s="31" t="s">
        <v>45</v>
      </c>
    </row>
    <row r="7" spans="2:15" x14ac:dyDescent="0.25">
      <c r="B7" s="50" t="s">
        <v>1</v>
      </c>
      <c r="C7" s="51"/>
      <c r="D7" s="17">
        <v>5</v>
      </c>
      <c r="E7" s="61">
        <v>13</v>
      </c>
      <c r="F7" s="61"/>
      <c r="G7" s="10">
        <f t="shared" ref="G7:G13" si="0">E7*D7</f>
        <v>65</v>
      </c>
      <c r="J7" s="9" t="s">
        <v>23</v>
      </c>
      <c r="K7" s="28"/>
      <c r="L7" s="28" t="s">
        <v>39</v>
      </c>
      <c r="M7" s="34">
        <v>0.92</v>
      </c>
      <c r="N7" s="29" t="s">
        <v>40</v>
      </c>
    </row>
    <row r="8" spans="2:15" x14ac:dyDescent="0.25">
      <c r="B8" s="50" t="s">
        <v>2</v>
      </c>
      <c r="C8" s="51"/>
      <c r="D8" s="17">
        <v>5</v>
      </c>
      <c r="E8" s="61">
        <v>16</v>
      </c>
      <c r="F8" s="61"/>
      <c r="G8" s="10">
        <f t="shared" si="0"/>
        <v>80</v>
      </c>
      <c r="J8" s="14" t="s">
        <v>41</v>
      </c>
      <c r="K8" s="1"/>
      <c r="L8" s="1" t="s">
        <v>39</v>
      </c>
      <c r="M8" s="35">
        <v>0.79</v>
      </c>
      <c r="N8" s="16" t="s">
        <v>40</v>
      </c>
    </row>
    <row r="9" spans="2:15" x14ac:dyDescent="0.25">
      <c r="B9" s="52" t="s">
        <v>3</v>
      </c>
      <c r="C9" s="53"/>
      <c r="D9" s="17">
        <v>5</v>
      </c>
      <c r="E9" s="61">
        <v>77.5</v>
      </c>
      <c r="F9" s="61"/>
      <c r="G9" s="10">
        <f t="shared" si="0"/>
        <v>387.5</v>
      </c>
    </row>
    <row r="10" spans="2:15" x14ac:dyDescent="0.25">
      <c r="B10" s="50" t="s">
        <v>4</v>
      </c>
      <c r="C10" s="51"/>
      <c r="D10" s="17">
        <v>5</v>
      </c>
      <c r="E10" s="61">
        <v>46.5</v>
      </c>
      <c r="F10" s="61"/>
      <c r="G10" s="10">
        <f t="shared" si="0"/>
        <v>232.5</v>
      </c>
    </row>
    <row r="11" spans="2:15" x14ac:dyDescent="0.25">
      <c r="B11" s="52" t="s">
        <v>37</v>
      </c>
      <c r="C11" s="53"/>
      <c r="D11" s="17">
        <v>3.3</v>
      </c>
      <c r="E11" s="61">
        <v>4.8</v>
      </c>
      <c r="F11" s="61"/>
      <c r="G11" s="10">
        <f t="shared" si="0"/>
        <v>15.839999999999998</v>
      </c>
    </row>
    <row r="12" spans="2:15" x14ac:dyDescent="0.25">
      <c r="B12" s="52" t="s">
        <v>12</v>
      </c>
      <c r="C12" s="53"/>
      <c r="D12" s="17">
        <v>3.3</v>
      </c>
      <c r="E12" s="60">
        <v>0.4</v>
      </c>
      <c r="F12" s="60"/>
      <c r="G12" s="10">
        <f t="shared" si="0"/>
        <v>1.32</v>
      </c>
    </row>
    <row r="13" spans="2:15" x14ac:dyDescent="0.25">
      <c r="B13" s="52" t="s">
        <v>26</v>
      </c>
      <c r="C13" s="53"/>
      <c r="D13" s="17">
        <v>5</v>
      </c>
      <c r="E13" s="60">
        <v>5.5</v>
      </c>
      <c r="F13" s="60"/>
      <c r="G13" s="10">
        <f t="shared" si="0"/>
        <v>27.5</v>
      </c>
    </row>
    <row r="14" spans="2:15" x14ac:dyDescent="0.25">
      <c r="B14" s="4" t="s">
        <v>38</v>
      </c>
    </row>
    <row r="15" spans="2:15" x14ac:dyDescent="0.25">
      <c r="B15" s="4"/>
    </row>
    <row r="16" spans="2:15" ht="18.75" x14ac:dyDescent="0.3">
      <c r="B16" s="8" t="s">
        <v>31</v>
      </c>
      <c r="C16" s="1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8" spans="2:15" x14ac:dyDescent="0.25">
      <c r="B18" s="39" t="s">
        <v>22</v>
      </c>
      <c r="C18" s="40"/>
      <c r="D18" s="41"/>
      <c r="F18" s="39" t="s">
        <v>32</v>
      </c>
      <c r="G18" s="40"/>
      <c r="H18" s="40"/>
      <c r="I18" s="41"/>
      <c r="K18" s="39" t="s">
        <v>33</v>
      </c>
      <c r="L18" s="40" t="s">
        <v>10</v>
      </c>
      <c r="M18" s="40"/>
      <c r="N18" s="41"/>
    </row>
    <row r="19" spans="2:15" x14ac:dyDescent="0.25">
      <c r="B19" s="11"/>
      <c r="C19" s="6"/>
      <c r="D19" s="15"/>
      <c r="F19" s="12"/>
      <c r="G19" s="5"/>
      <c r="H19" s="5"/>
      <c r="I19" s="20"/>
      <c r="K19" s="12"/>
      <c r="L19" s="5"/>
      <c r="M19" s="5"/>
      <c r="N19" s="20"/>
    </row>
    <row r="20" spans="2:15" x14ac:dyDescent="0.25">
      <c r="B20" s="12"/>
      <c r="C20" s="5" t="s">
        <v>15</v>
      </c>
      <c r="D20" s="13" t="b">
        <v>1</v>
      </c>
      <c r="F20" s="12"/>
      <c r="G20" s="5" t="s">
        <v>7</v>
      </c>
      <c r="H20" s="7">
        <v>5.4</v>
      </c>
      <c r="I20" s="20"/>
      <c r="K20" s="12"/>
      <c r="L20" s="5" t="s">
        <v>5</v>
      </c>
      <c r="M20" s="7">
        <v>50</v>
      </c>
      <c r="N20" s="20"/>
    </row>
    <row r="21" spans="2:15" x14ac:dyDescent="0.25">
      <c r="B21" s="12"/>
      <c r="C21" s="5" t="s">
        <v>16</v>
      </c>
      <c r="D21" s="13" t="b">
        <v>1</v>
      </c>
      <c r="F21" s="12"/>
      <c r="G21" s="5" t="s">
        <v>14</v>
      </c>
      <c r="H21" s="7">
        <v>12</v>
      </c>
      <c r="I21" s="20"/>
      <c r="K21" s="12"/>
      <c r="L21" s="5" t="s">
        <v>6</v>
      </c>
      <c r="M21" s="7">
        <v>5</v>
      </c>
      <c r="N21" s="20"/>
    </row>
    <row r="22" spans="2:15" x14ac:dyDescent="0.25">
      <c r="B22" s="12"/>
      <c r="C22" s="5" t="s">
        <v>17</v>
      </c>
      <c r="D22" s="13" t="b">
        <v>0</v>
      </c>
      <c r="F22" s="12"/>
      <c r="G22" s="5" t="s">
        <v>13</v>
      </c>
      <c r="H22" s="19">
        <f>H20*H21</f>
        <v>64.800000000000011</v>
      </c>
      <c r="I22" s="20"/>
      <c r="K22" s="12"/>
      <c r="L22" s="5" t="s">
        <v>8</v>
      </c>
      <c r="M22" s="36">
        <v>1</v>
      </c>
      <c r="N22" s="20"/>
    </row>
    <row r="23" spans="2:15" x14ac:dyDescent="0.25">
      <c r="B23" s="12"/>
      <c r="C23" s="5" t="s">
        <v>18</v>
      </c>
      <c r="D23" s="13" t="b">
        <v>0</v>
      </c>
      <c r="F23" s="14"/>
      <c r="G23" s="1"/>
      <c r="H23" s="1"/>
      <c r="I23" s="16"/>
      <c r="K23" s="14"/>
      <c r="L23" s="1"/>
      <c r="M23" s="1"/>
      <c r="N23" s="16"/>
    </row>
    <row r="24" spans="2:15" x14ac:dyDescent="0.25">
      <c r="B24" s="12"/>
      <c r="C24" s="5" t="s">
        <v>19</v>
      </c>
      <c r="D24" s="13">
        <v>8</v>
      </c>
    </row>
    <row r="25" spans="2:15" x14ac:dyDescent="0.25">
      <c r="B25" s="12"/>
      <c r="C25" s="5" t="s">
        <v>20</v>
      </c>
      <c r="D25" s="13">
        <v>20</v>
      </c>
    </row>
    <row r="26" spans="2:15" x14ac:dyDescent="0.25">
      <c r="B26" s="14"/>
      <c r="C26" s="1"/>
      <c r="D26" s="16"/>
    </row>
    <row r="28" spans="2:15" ht="18.75" x14ac:dyDescent="0.3">
      <c r="B28" s="8" t="s">
        <v>35</v>
      </c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30" spans="2:15" x14ac:dyDescent="0.25">
      <c r="B30" s="47" t="s">
        <v>0</v>
      </c>
      <c r="C30" s="48"/>
      <c r="D30" s="25" t="s">
        <v>21</v>
      </c>
      <c r="E30" s="62" t="s">
        <v>34</v>
      </c>
      <c r="F30" s="62"/>
      <c r="G30" s="25" t="s">
        <v>27</v>
      </c>
      <c r="H30" s="25" t="s">
        <v>47</v>
      </c>
      <c r="I30" s="24" t="s">
        <v>28</v>
      </c>
      <c r="J30" s="24"/>
      <c r="K30" s="24"/>
      <c r="L30" s="26" t="s">
        <v>29</v>
      </c>
    </row>
    <row r="31" spans="2:15" x14ac:dyDescent="0.25">
      <c r="B31" s="45" t="s">
        <v>24</v>
      </c>
      <c r="C31" s="46"/>
      <c r="D31" s="21">
        <f>D11</f>
        <v>3.3</v>
      </c>
      <c r="E31" s="49">
        <f>2*IF(OR(D20,D21),E11,0)</f>
        <v>9.6</v>
      </c>
      <c r="F31" s="49"/>
      <c r="G31" s="21">
        <f>D31*E31</f>
        <v>31.679999999999996</v>
      </c>
      <c r="H31" s="21">
        <f>IF($D$23,IF($D$25&gt;$D$24,$D$25-$D$24,24-$D$24+$D$25),24)</f>
        <v>24</v>
      </c>
      <c r="I31" s="49">
        <f>G31*H31</f>
        <v>760.31999999999994</v>
      </c>
      <c r="J31" s="49"/>
      <c r="K31" s="49"/>
      <c r="L31" s="27">
        <f t="shared" ref="L31:L38" si="1">I31/1000/$D$40</f>
        <v>0.12999515572906273</v>
      </c>
    </row>
    <row r="32" spans="2:15" x14ac:dyDescent="0.25">
      <c r="B32" s="45" t="s">
        <v>25</v>
      </c>
      <c r="C32" s="46"/>
      <c r="D32" s="21">
        <f>D12</f>
        <v>3.3</v>
      </c>
      <c r="E32" s="49">
        <f>2*IF(OR(D20,D21,D22),E12,0)</f>
        <v>0.8</v>
      </c>
      <c r="F32" s="49"/>
      <c r="G32" s="21">
        <f t="shared" ref="G32:G37" si="2">D32*E32</f>
        <v>2.64</v>
      </c>
      <c r="H32" s="21">
        <f>IF($D$23,IF($D$25&gt;$D$24,$D$25-$D$24,24-$D$24+$D$25),24)</f>
        <v>24</v>
      </c>
      <c r="I32" s="49">
        <f t="shared" ref="I32:I37" si="3">G32*H32</f>
        <v>63.36</v>
      </c>
      <c r="J32" s="49"/>
      <c r="K32" s="49"/>
      <c r="L32" s="27">
        <f t="shared" si="1"/>
        <v>1.0832929644088564E-2</v>
      </c>
    </row>
    <row r="33" spans="2:12" x14ac:dyDescent="0.25">
      <c r="B33" s="45" t="s">
        <v>26</v>
      </c>
      <c r="C33" s="46"/>
      <c r="D33" s="21">
        <f>D13</f>
        <v>5</v>
      </c>
      <c r="E33" s="58">
        <f>IF(OR(D20,D21,D22),E13+(E31+E32)*(D33-D32)/D33,0)</f>
        <v>9.0360000000000014</v>
      </c>
      <c r="F33" s="58"/>
      <c r="G33" s="21">
        <f t="shared" si="2"/>
        <v>45.180000000000007</v>
      </c>
      <c r="H33" s="21">
        <f>IF($D$23,IF($D$25&gt;$D$24,$D$25-$D$24,24-$D$24+$D$25),24)</f>
        <v>24</v>
      </c>
      <c r="I33" s="49">
        <f t="shared" si="3"/>
        <v>1084.3200000000002</v>
      </c>
      <c r="J33" s="49"/>
      <c r="K33" s="49"/>
      <c r="L33" s="27">
        <f t="shared" si="1"/>
        <v>0.18539081868178839</v>
      </c>
    </row>
    <row r="34" spans="2:12" x14ac:dyDescent="0.25">
      <c r="B34" s="45" t="s">
        <v>1</v>
      </c>
      <c r="C34" s="46"/>
      <c r="D34" s="21">
        <f t="shared" ref="D34:E37" si="4">D7</f>
        <v>5</v>
      </c>
      <c r="E34" s="49">
        <f t="shared" si="4"/>
        <v>13</v>
      </c>
      <c r="F34" s="49"/>
      <c r="G34" s="21">
        <f t="shared" si="2"/>
        <v>65</v>
      </c>
      <c r="H34" s="21">
        <v>24</v>
      </c>
      <c r="I34" s="49">
        <f t="shared" si="3"/>
        <v>1560</v>
      </c>
      <c r="J34" s="49"/>
      <c r="K34" s="49"/>
      <c r="L34" s="27">
        <f t="shared" si="1"/>
        <v>0.26671985866127146</v>
      </c>
    </row>
    <row r="35" spans="2:12" x14ac:dyDescent="0.25">
      <c r="B35" s="45" t="s">
        <v>2</v>
      </c>
      <c r="C35" s="46"/>
      <c r="D35" s="21">
        <f t="shared" si="4"/>
        <v>5</v>
      </c>
      <c r="E35" s="49">
        <f t="shared" si="4"/>
        <v>16</v>
      </c>
      <c r="F35" s="49"/>
      <c r="G35" s="21">
        <f t="shared" si="2"/>
        <v>80</v>
      </c>
      <c r="H35" s="21">
        <f>IF($D$23,IF($D$25&gt;$D$24,$D$25-$D$24,24-$D$24+$D$25),24)-H36-H37</f>
        <v>22.333333333333336</v>
      </c>
      <c r="I35" s="49">
        <f t="shared" si="3"/>
        <v>1786.666666666667</v>
      </c>
      <c r="J35" s="49"/>
      <c r="K35" s="49"/>
      <c r="L35" s="27">
        <f t="shared" si="1"/>
        <v>0.30547402615906311</v>
      </c>
    </row>
    <row r="36" spans="2:12" x14ac:dyDescent="0.25">
      <c r="B36" s="45" t="s">
        <v>3</v>
      </c>
      <c r="C36" s="46"/>
      <c r="D36" s="21">
        <f t="shared" si="4"/>
        <v>5</v>
      </c>
      <c r="E36" s="49">
        <f t="shared" si="4"/>
        <v>77.5</v>
      </c>
      <c r="F36" s="49"/>
      <c r="G36" s="21">
        <f t="shared" si="2"/>
        <v>387.5</v>
      </c>
      <c r="H36" s="21">
        <f>IF(NOT(OR(D20,D21)),IF($D$23,IF($D$25&gt;$D$24,$D$25-$D$24,24-$D$24+$D$25),24)-H37,IF($D$23,IF($D$25&gt;$D$24,$D$25-$D$24,24-$D$24+$D$25),24)*M20*(M21-M22)/3600)</f>
        <v>1.3333333333333333</v>
      </c>
      <c r="I36" s="49">
        <f t="shared" si="3"/>
        <v>516.66666666666663</v>
      </c>
      <c r="J36" s="49"/>
      <c r="K36" s="49"/>
      <c r="L36" s="27">
        <f t="shared" si="1"/>
        <v>8.8336705325848433E-2</v>
      </c>
    </row>
    <row r="37" spans="2:12" x14ac:dyDescent="0.25">
      <c r="B37" s="45" t="s">
        <v>4</v>
      </c>
      <c r="C37" s="46"/>
      <c r="D37" s="21">
        <f t="shared" si="4"/>
        <v>5</v>
      </c>
      <c r="E37" s="49">
        <f t="shared" si="4"/>
        <v>46.5</v>
      </c>
      <c r="F37" s="49"/>
      <c r="G37" s="21">
        <f t="shared" si="2"/>
        <v>232.5</v>
      </c>
      <c r="H37" s="21">
        <f>IF($D$23,IF($D$25&gt;$D$24,$D$25-$D$24,24-$D$24+$D$25),24)*M20*M22/3600</f>
        <v>0.33333333333333331</v>
      </c>
      <c r="I37" s="49">
        <f t="shared" si="3"/>
        <v>77.5</v>
      </c>
      <c r="J37" s="49"/>
      <c r="K37" s="49"/>
      <c r="L37" s="27">
        <f t="shared" si="1"/>
        <v>1.3250505798877267E-2</v>
      </c>
    </row>
    <row r="38" spans="2:12" x14ac:dyDescent="0.25">
      <c r="B38" s="45" t="s">
        <v>42</v>
      </c>
      <c r="C38" s="46"/>
      <c r="D38" s="21">
        <f>H21</f>
        <v>12</v>
      </c>
      <c r="E38" s="49">
        <v>0</v>
      </c>
      <c r="F38" s="49"/>
      <c r="G38" s="32">
        <f>D38*E38+(1-IF(D38=12,M8,M7))*(SUM(G31:G34)+MAX(G35:G37))</f>
        <v>111.71999999999998</v>
      </c>
      <c r="H38" s="21">
        <v>24</v>
      </c>
      <c r="I38" s="59">
        <f>D38*E38*H38+(1-IF(D38=12,M8,M7))*SUM(I31:K37)</f>
        <v>1228.2549999999999</v>
      </c>
      <c r="J38" s="59"/>
      <c r="K38" s="59"/>
      <c r="L38" s="27">
        <f t="shared" si="1"/>
        <v>0.20999999999999994</v>
      </c>
    </row>
    <row r="40" spans="2:12" x14ac:dyDescent="0.25">
      <c r="B40" s="56" t="s">
        <v>30</v>
      </c>
      <c r="C40" s="57"/>
      <c r="D40" s="3">
        <f>SUM(I31:I37)/1000</f>
        <v>5.8488333333333342</v>
      </c>
    </row>
    <row r="41" spans="2:12" x14ac:dyDescent="0.25">
      <c r="B41" s="54" t="s">
        <v>9</v>
      </c>
      <c r="C41" s="55"/>
      <c r="D41" s="2" t="str">
        <f>INT(H22/D40) &amp; "d " &amp; INT(24*MOD(H22,D40)/D40) &amp; "h " &amp; INT(MOD(24*60*MOD(H22,D40)/D40,60)) &amp; "m " &amp; INT(MOD(24*60*60*MOD(H22,D40)/D40,60)) &amp; "s"</f>
        <v>11d 1h 53m 57s</v>
      </c>
    </row>
  </sheetData>
  <mergeCells count="49">
    <mergeCell ref="E6:F6"/>
    <mergeCell ref="B38:C38"/>
    <mergeCell ref="E38:F38"/>
    <mergeCell ref="E9:F9"/>
    <mergeCell ref="E8:F8"/>
    <mergeCell ref="B32:C32"/>
    <mergeCell ref="E10:F10"/>
    <mergeCell ref="I36:K36"/>
    <mergeCell ref="I37:K37"/>
    <mergeCell ref="E30:F30"/>
    <mergeCell ref="B33:C33"/>
    <mergeCell ref="E7:F7"/>
    <mergeCell ref="E13:F13"/>
    <mergeCell ref="E12:F12"/>
    <mergeCell ref="E11:F11"/>
    <mergeCell ref="B13:C13"/>
    <mergeCell ref="I35:K35"/>
    <mergeCell ref="B41:C41"/>
    <mergeCell ref="B40:C40"/>
    <mergeCell ref="E32:F32"/>
    <mergeCell ref="I32:K32"/>
    <mergeCell ref="I33:K33"/>
    <mergeCell ref="I34:K34"/>
    <mergeCell ref="B37:C37"/>
    <mergeCell ref="B36:C36"/>
    <mergeCell ref="B35:C35"/>
    <mergeCell ref="B34:C34"/>
    <mergeCell ref="E37:F37"/>
    <mergeCell ref="E36:F36"/>
    <mergeCell ref="E35:F35"/>
    <mergeCell ref="E34:F34"/>
    <mergeCell ref="E33:F33"/>
    <mergeCell ref="I38:K38"/>
    <mergeCell ref="J6:K6"/>
    <mergeCell ref="F18:I18"/>
    <mergeCell ref="K18:N18"/>
    <mergeCell ref="B2:O2"/>
    <mergeCell ref="B31:C31"/>
    <mergeCell ref="B30:C30"/>
    <mergeCell ref="E31:F31"/>
    <mergeCell ref="I31:K31"/>
    <mergeCell ref="B18:D18"/>
    <mergeCell ref="B6:C6"/>
    <mergeCell ref="B7:C7"/>
    <mergeCell ref="B8:C8"/>
    <mergeCell ref="B9:C9"/>
    <mergeCell ref="B10:C10"/>
    <mergeCell ref="B11:C11"/>
    <mergeCell ref="B12:C12"/>
  </mergeCells>
  <dataValidations count="3">
    <dataValidation type="list" allowBlank="1" showInputMessage="1" showErrorMessage="1" sqref="D20:D23">
      <formula1>"VRAI,FAUX"</formula1>
    </dataValidation>
    <dataValidation type="list" allowBlank="1" showInputMessage="1" showErrorMessage="1" sqref="H21">
      <mc:AlternateContent xmlns:x12ac="http://schemas.microsoft.com/office/spreadsheetml/2011/1/ac" xmlns:mc="http://schemas.openxmlformats.org/markup-compatibility/2006">
        <mc:Choice Requires="x12ac">
          <x12ac:list>"3,6",12</x12ac:list>
        </mc:Choice>
        <mc:Fallback>
          <formula1>"3,6,12"</formula1>
        </mc:Fallback>
      </mc:AlternateContent>
    </dataValidation>
    <dataValidation type="list" allowBlank="1" showInputMessage="1" showErrorMessage="1" sqref="H20">
      <mc:AlternateContent xmlns:x12ac="http://schemas.microsoft.com/office/spreadsheetml/2011/1/ac" xmlns:mc="http://schemas.openxmlformats.org/markup-compatibility/2006">
        <mc:Choice Requires="x12ac">
          <x12ac:list>"20,8","5,4","10,8"</x12ac:list>
        </mc:Choice>
        <mc:Fallback>
          <formula1>"20,8,5,4,10,8"</formula1>
        </mc:Fallback>
      </mc:AlternateContent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IPHC IN2P3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tenaud</dc:creator>
  <cp:lastModifiedBy>benjamin tenaud</cp:lastModifiedBy>
  <dcterms:created xsi:type="dcterms:W3CDTF">2023-04-24T14:04:02Z</dcterms:created>
  <dcterms:modified xsi:type="dcterms:W3CDTF">2023-04-27T15:22:57Z</dcterms:modified>
</cp:coreProperties>
</file>