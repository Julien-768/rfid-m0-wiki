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tenaud\Desktop\"/>
    </mc:Choice>
  </mc:AlternateContent>
  <bookViews>
    <workbookView xWindow="0" yWindow="0" windowWidth="28800" windowHeight="1368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H7" i="1"/>
  <c r="H6" i="1"/>
  <c r="H5" i="1"/>
  <c r="H4" i="1"/>
  <c r="C15" i="1"/>
  <c r="C14" i="1"/>
  <c r="C13" i="1"/>
  <c r="C12" i="1"/>
  <c r="C11" i="1"/>
  <c r="C10" i="1"/>
  <c r="C9" i="1"/>
  <c r="G6" i="1"/>
  <c r="C23" i="1"/>
  <c r="H12" i="1" l="1"/>
  <c r="H13" i="1" s="1"/>
  <c r="H14" i="1" s="1"/>
  <c r="C5" i="1" l="1"/>
  <c r="H15" i="1" l="1"/>
  <c r="H16" i="1" s="1"/>
</calcChain>
</file>

<file path=xl/comments1.xml><?xml version="1.0" encoding="utf-8"?>
<comments xmlns="http://schemas.openxmlformats.org/spreadsheetml/2006/main">
  <authors>
    <author>benjamin tenaud</author>
  </authors>
  <commentList>
    <comment ref="C4" authorId="0" shapeId="0">
      <text>
        <r>
          <rPr>
            <sz val="9"/>
            <color indexed="81"/>
            <rFont val="Tahoma"/>
            <charset val="1"/>
          </rPr>
          <t xml:space="preserve">Size of controller format for 4GB : Pessimistic estimation for 2GB
</t>
        </r>
      </text>
    </comment>
  </commentList>
</comments>
</file>

<file path=xl/sharedStrings.xml><?xml version="1.0" encoding="utf-8"?>
<sst xmlns="http://schemas.openxmlformats.org/spreadsheetml/2006/main" count="38" uniqueCount="34">
  <si>
    <t>Size [byte]</t>
  </si>
  <si>
    <t>End of line</t>
  </si>
  <si>
    <t>Occurrences</t>
  </si>
  <si>
    <t>Available memory [byte]</t>
  </si>
  <si>
    <t>SD card size [Gb]</t>
  </si>
  <si>
    <t>Controller size [byte]</t>
  </si>
  <si>
    <t>Real memory size [byte]</t>
  </si>
  <si>
    <t>Message description</t>
  </si>
  <si>
    <t>Memory description</t>
  </si>
  <si>
    <t>Max battery voltage [V]</t>
  </si>
  <si>
    <t>Min battery voltage [V]</t>
  </si>
  <si>
    <t>Vbat variation measurement [V]</t>
  </si>
  <si>
    <t>Battery measurement data</t>
  </si>
  <si>
    <t>Max Vbat messages</t>
  </si>
  <si>
    <t>Data file description</t>
  </si>
  <si>
    <t>Type of message</t>
  </si>
  <si>
    <t>Start + RTC check</t>
  </si>
  <si>
    <t>End</t>
  </si>
  <si>
    <t>Vbat</t>
  </si>
  <si>
    <t>Detection without tag [byte]</t>
  </si>
  <si>
    <t>Detection with tag [byte]</t>
  </si>
  <si>
    <t>To calculate</t>
  </si>
  <si>
    <t>Results</t>
  </si>
  <si>
    <t>Corresponding detection without tag</t>
  </si>
  <si>
    <t>|- Duration if 1 tag / s</t>
  </si>
  <si>
    <t>YYYY-MM-DD;HH:MM:SS.mmm;System; Start;</t>
  </si>
  <si>
    <t>YYYY-MM-DD;HH:MM:SS.mmm;IR X;broken beam;</t>
  </si>
  <si>
    <t>YYYY-MM-DD;HH:MM:SS.mmm;IR X;beam restored;</t>
  </si>
  <si>
    <t>YYYY-MM-DD;HH:MM:SS.mmm;A0;250-229500045120;</t>
  </si>
  <si>
    <t>YYYY-MM-DD;HH:MM:SS.mmm;Vbat;xx.xxV;</t>
  </si>
  <si>
    <t>YYYY-MM-DD;HH:MM:SS.mmm;Shut Down Button;</t>
  </si>
  <si>
    <t>YYYY-MM-DD;HH:MM:SS.mmm;System;RTC is ok;</t>
  </si>
  <si>
    <t>Message *</t>
  </si>
  <si>
    <t>* Pessimistic size with the more possible 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</si>
</sst>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2" borderId="2" applyNumberFormat="0" applyAlignment="0" applyProtection="0"/>
  </cellStyleXfs>
  <cellXfs count="25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1" fillId="2" borderId="3" xfId="1" applyBorder="1"/>
    <xf numFmtId="0" fontId="0" fillId="0" borderId="0" xfId="0" applyBorder="1" applyAlignment="1">
      <alignment vertical="center"/>
    </xf>
    <xf numFmtId="0" fontId="1" fillId="2" borderId="3" xfId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3" fillId="5" borderId="1" xfId="0" applyFont="1" applyFill="1" applyBorder="1"/>
    <xf numFmtId="0" fontId="3" fillId="5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1" fontId="1" fillId="4" borderId="0" xfId="1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4" xfId="0" applyFont="1" applyFill="1" applyBorder="1"/>
    <xf numFmtId="0" fontId="2" fillId="0" borderId="3" xfId="0" applyFont="1" applyBorder="1" applyAlignment="1">
      <alignment horizontal="center"/>
    </xf>
    <xf numFmtId="0" fontId="0" fillId="0" borderId="0" xfId="0" quotePrefix="1"/>
  </cellXfs>
  <cellStyles count="2">
    <cellStyle name="Normal" xfId="0" builtinId="0"/>
    <cellStyle name="Sortie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I23"/>
  <sheetViews>
    <sheetView showGridLines="0" tabSelected="1" workbookViewId="0"/>
  </sheetViews>
  <sheetFormatPr baseColWidth="10" defaultRowHeight="15" x14ac:dyDescent="0.25"/>
  <cols>
    <col min="1" max="1" width="8" customWidth="1"/>
    <col min="2" max="2" width="48.5703125" bestFit="1" customWidth="1"/>
    <col min="3" max="3" width="21.7109375" customWidth="1"/>
    <col min="4" max="4" width="14.5703125" customWidth="1"/>
    <col min="5" max="5" width="16.28515625" customWidth="1"/>
    <col min="6" max="6" width="28" customWidth="1"/>
    <col min="7" max="7" width="15.28515625" customWidth="1"/>
    <col min="8" max="8" width="13.42578125" customWidth="1"/>
  </cols>
  <sheetData>
    <row r="2" spans="2:8" x14ac:dyDescent="0.25">
      <c r="B2" s="23" t="s">
        <v>8</v>
      </c>
      <c r="C2" s="23"/>
      <c r="F2" s="23" t="s">
        <v>14</v>
      </c>
      <c r="G2" s="23"/>
      <c r="H2" s="23"/>
    </row>
    <row r="3" spans="2:8" x14ac:dyDescent="0.25">
      <c r="B3" t="s">
        <v>4</v>
      </c>
      <c r="C3" s="13">
        <v>2</v>
      </c>
      <c r="F3" s="14" t="s">
        <v>15</v>
      </c>
      <c r="G3" s="15" t="s">
        <v>2</v>
      </c>
      <c r="H3" s="15" t="s">
        <v>0</v>
      </c>
    </row>
    <row r="4" spans="2:8" x14ac:dyDescent="0.25">
      <c r="B4" t="s">
        <v>5</v>
      </c>
      <c r="C4" s="13">
        <v>27994112</v>
      </c>
      <c r="F4" s="3" t="s">
        <v>16</v>
      </c>
      <c r="G4" s="4">
        <v>1</v>
      </c>
      <c r="H4" s="4">
        <f>G4*(C9+C10+$C$16*2)</f>
        <v>83</v>
      </c>
    </row>
    <row r="5" spans="2:8" x14ac:dyDescent="0.25">
      <c r="B5" s="2" t="s">
        <v>6</v>
      </c>
      <c r="C5" s="9">
        <f>C3*1000000000-C4</f>
        <v>1972005888</v>
      </c>
      <c r="F5" s="3" t="s">
        <v>17</v>
      </c>
      <c r="G5" s="4">
        <v>1</v>
      </c>
      <c r="H5" s="4">
        <f>G5*(C15+$C$16)</f>
        <v>43</v>
      </c>
    </row>
    <row r="6" spans="2:8" x14ac:dyDescent="0.25">
      <c r="F6" s="3" t="s">
        <v>18</v>
      </c>
      <c r="G6" s="4">
        <f>C23</f>
        <v>20</v>
      </c>
      <c r="H6" s="4">
        <f>G6*(C14+$C$16)</f>
        <v>760</v>
      </c>
    </row>
    <row r="7" spans="2:8" x14ac:dyDescent="0.25">
      <c r="B7" s="23" t="s">
        <v>7</v>
      </c>
      <c r="C7" s="23"/>
      <c r="F7" s="3" t="s">
        <v>19</v>
      </c>
      <c r="G7" s="11" t="s">
        <v>21</v>
      </c>
      <c r="H7" s="4">
        <f>C11*2+C12*2+C16*4</f>
        <v>176</v>
      </c>
    </row>
    <row r="8" spans="2:8" x14ac:dyDescent="0.25">
      <c r="B8" s="5" t="s">
        <v>32</v>
      </c>
      <c r="C8" s="6" t="s">
        <v>0</v>
      </c>
      <c r="F8" s="3" t="s">
        <v>20</v>
      </c>
      <c r="G8" s="11" t="s">
        <v>21</v>
      </c>
      <c r="H8" s="4">
        <f>H7+C13+C16</f>
        <v>222</v>
      </c>
    </row>
    <row r="9" spans="2:8" x14ac:dyDescent="0.25">
      <c r="B9" s="1" t="s">
        <v>25</v>
      </c>
      <c r="C9" s="21">
        <f>LEN(B9)</f>
        <v>38</v>
      </c>
    </row>
    <row r="10" spans="2:8" x14ac:dyDescent="0.25">
      <c r="B10" s="1" t="s">
        <v>31</v>
      </c>
      <c r="C10" s="21">
        <f>LEN(B10)</f>
        <v>41</v>
      </c>
    </row>
    <row r="11" spans="2:8" x14ac:dyDescent="0.25">
      <c r="B11" s="1" t="s">
        <v>26</v>
      </c>
      <c r="C11" s="21">
        <f t="shared" ref="C11:C15" si="0">LEN(B11)</f>
        <v>41</v>
      </c>
      <c r="F11" s="23" t="s">
        <v>22</v>
      </c>
      <c r="G11" s="23"/>
      <c r="H11" s="23"/>
    </row>
    <row r="12" spans="2:8" x14ac:dyDescent="0.25">
      <c r="B12" s="1" t="s">
        <v>27</v>
      </c>
      <c r="C12" s="21">
        <f t="shared" si="0"/>
        <v>43</v>
      </c>
      <c r="F12" s="10" t="s">
        <v>3</v>
      </c>
      <c r="G12" s="7"/>
      <c r="H12" s="18">
        <f>C5-SUM(H4:H6)</f>
        <v>1972005002</v>
      </c>
    </row>
    <row r="13" spans="2:8" x14ac:dyDescent="0.25">
      <c r="B13" s="1" t="s">
        <v>28</v>
      </c>
      <c r="C13" s="21">
        <f t="shared" si="0"/>
        <v>44</v>
      </c>
      <c r="F13" s="16" t="s">
        <v>23</v>
      </c>
      <c r="G13" s="7"/>
      <c r="H13" s="19">
        <f>H12/H7</f>
        <v>11204573.875</v>
      </c>
    </row>
    <row r="14" spans="2:8" x14ac:dyDescent="0.25">
      <c r="B14" s="1" t="s">
        <v>29</v>
      </c>
      <c r="C14" s="21">
        <f t="shared" si="0"/>
        <v>36</v>
      </c>
      <c r="F14" s="16" t="s">
        <v>24</v>
      </c>
      <c r="G14" s="7"/>
      <c r="H14" s="18" t="str">
        <f>INT(H13/3600/24) &amp; "j " &amp; INT((H13-INT(H13/3600/24)*24*3600)/3600) &amp; "h"</f>
        <v>129j 16h</v>
      </c>
    </row>
    <row r="15" spans="2:8" x14ac:dyDescent="0.25">
      <c r="B15" s="1" t="s">
        <v>30</v>
      </c>
      <c r="C15" s="21">
        <f t="shared" si="0"/>
        <v>41</v>
      </c>
      <c r="F15" s="16" t="s">
        <v>23</v>
      </c>
      <c r="G15" s="7"/>
      <c r="H15" s="19">
        <f>H12/H8</f>
        <v>8882905.4144144151</v>
      </c>
    </row>
    <row r="16" spans="2:8" x14ac:dyDescent="0.25">
      <c r="B16" s="1" t="s">
        <v>1</v>
      </c>
      <c r="C16" s="4">
        <v>2</v>
      </c>
      <c r="F16" s="17" t="s">
        <v>24</v>
      </c>
      <c r="G16" s="2"/>
      <c r="H16" s="20" t="str">
        <f>INT(H15/3600/24) &amp; "j " &amp; INT((H15-INT(H15/3600/24)*24*3600)/3600) &amp; "h"</f>
        <v>102j 19h</v>
      </c>
    </row>
    <row r="17" spans="2:9" x14ac:dyDescent="0.25">
      <c r="B17" s="22" t="s">
        <v>33</v>
      </c>
    </row>
    <row r="19" spans="2:9" x14ac:dyDescent="0.25">
      <c r="B19" s="23" t="s">
        <v>12</v>
      </c>
      <c r="C19" s="23"/>
    </row>
    <row r="20" spans="2:9" x14ac:dyDescent="0.25">
      <c r="B20" s="7" t="s">
        <v>9</v>
      </c>
      <c r="C20" s="8">
        <v>14</v>
      </c>
    </row>
    <row r="21" spans="2:9" x14ac:dyDescent="0.25">
      <c r="B21" s="7" t="s">
        <v>10</v>
      </c>
      <c r="C21" s="8">
        <v>12</v>
      </c>
      <c r="I21" s="24"/>
    </row>
    <row r="22" spans="2:9" x14ac:dyDescent="0.25">
      <c r="B22" t="s">
        <v>11</v>
      </c>
      <c r="C22" s="12">
        <v>0.1</v>
      </c>
    </row>
    <row r="23" spans="2:9" x14ac:dyDescent="0.25">
      <c r="B23" s="2" t="s">
        <v>13</v>
      </c>
      <c r="C23" s="11">
        <f>(C20-C21)/C22</f>
        <v>20</v>
      </c>
    </row>
  </sheetData>
  <mergeCells count="5">
    <mergeCell ref="B7:C7"/>
    <mergeCell ref="B2:C2"/>
    <mergeCell ref="B19:C19"/>
    <mergeCell ref="F2:H2"/>
    <mergeCell ref="F11:H11"/>
  </mergeCells>
  <pageMargins left="0.7" right="0.7" top="0.75" bottom="0.75" header="0.3" footer="0.3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IPHC IN2P3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tenaud</dc:creator>
  <cp:lastModifiedBy>benjamin tenaud</cp:lastModifiedBy>
  <dcterms:created xsi:type="dcterms:W3CDTF">2023-04-21T12:37:39Z</dcterms:created>
  <dcterms:modified xsi:type="dcterms:W3CDTF">2023-04-24T07:47:54Z</dcterms:modified>
</cp:coreProperties>
</file>