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enaud\Documents\02 - Projet Antenne-Terrier\02 - Git\rfid_m0.wiki\docs\assets\images\User_description\"/>
    </mc:Choice>
  </mc:AlternateContent>
  <bookViews>
    <workbookView xWindow="0" yWindow="0" windowWidth="28800" windowHeight="136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G7" i="1" s="1"/>
  <c r="C18" i="1"/>
  <c r="C5" i="1"/>
  <c r="H7" i="1" l="1"/>
  <c r="C19" i="1"/>
  <c r="H5" i="1" s="1"/>
  <c r="C17" i="1"/>
  <c r="C16" i="1"/>
  <c r="C15" i="1"/>
  <c r="C14" i="1"/>
  <c r="H8" i="1" s="1"/>
  <c r="C13" i="1"/>
  <c r="C12" i="1"/>
  <c r="H4" i="1" s="1"/>
  <c r="C28" i="1"/>
  <c r="G6" i="1" s="1"/>
  <c r="H6" i="1" l="1"/>
  <c r="H12" i="1" s="1"/>
  <c r="H13" i="1" s="1"/>
  <c r="H14" i="1" s="1"/>
  <c r="H9" i="1"/>
  <c r="H15" i="1" l="1"/>
  <c r="H16" i="1" s="1"/>
</calcChain>
</file>

<file path=xl/sharedStrings.xml><?xml version="1.0" encoding="utf-8"?>
<sst xmlns="http://schemas.openxmlformats.org/spreadsheetml/2006/main" count="45" uniqueCount="41">
  <si>
    <t>Size [byte]</t>
  </si>
  <si>
    <t>End of line</t>
  </si>
  <si>
    <t>Occurrences</t>
  </si>
  <si>
    <t>Available memory [byte]</t>
  </si>
  <si>
    <t>SD card size [Gb]</t>
  </si>
  <si>
    <t>Controller size [byte]</t>
  </si>
  <si>
    <t>Real memory size [byte]</t>
  </si>
  <si>
    <t>Message description</t>
  </si>
  <si>
    <t>Memory description</t>
  </si>
  <si>
    <t>Max battery voltage [V]</t>
  </si>
  <si>
    <t>Min battery voltage [V]</t>
  </si>
  <si>
    <t>Vbat variation measurement [V]</t>
  </si>
  <si>
    <t>Max Vbat messages</t>
  </si>
  <si>
    <t>Data file description</t>
  </si>
  <si>
    <t>Type of message</t>
  </si>
  <si>
    <t>Start + RTC check</t>
  </si>
  <si>
    <t>End</t>
  </si>
  <si>
    <t>Vbat</t>
  </si>
  <si>
    <t>Detection without tag [byte]</t>
  </si>
  <si>
    <t>Detection with tag [byte]</t>
  </si>
  <si>
    <t>To calculate</t>
  </si>
  <si>
    <t>Results</t>
  </si>
  <si>
    <t>Corresponding detection without tag</t>
  </si>
  <si>
    <t>|- Duration if 1 tag / s</t>
  </si>
  <si>
    <t>Battery  data</t>
  </si>
  <si>
    <t>Expected autonomy [day]</t>
  </si>
  <si>
    <t>Max Up messages</t>
  </si>
  <si>
    <t>Up</t>
  </si>
  <si>
    <t>YYYY-MM-DD;HH:MM:SS.mmm;$uid_rfid_sensor$;inv_rfid_sensor;IR X;broken beam;</t>
  </si>
  <si>
    <t>YYYY-MM-DD;HH:MM:SS.mmm;$uid_rfid_sensor$;inv_rfid_sensor;IR X;beam restored;</t>
  </si>
  <si>
    <t>YYYY-MM-DD;HH:MM:SS.mmm;$uid_rfid_sensor$;inv_rfid_sensor;A0;250-229500045120;</t>
  </si>
  <si>
    <t>YYYY-MM-DD;HH:MM:SS.mmm;$uid_mainboard$;inv_mainboard;System; Start;</t>
  </si>
  <si>
    <t>YYYY-MM-DD;HH:MM:SS.mmm;$uid_mainboard$;inv_mainboard;System;RTC is ok;</t>
  </si>
  <si>
    <t>YYYY-MM-DD;HH:MM:SS.mmm;$uid_mainboard$;inv_mainboard;Vbat;xx.xxV;</t>
  </si>
  <si>
    <t>YYYY-MM-DD;HH:MM:SS.mmm;$uid_mainboard$;inv_mainboard;System;Up;</t>
  </si>
  <si>
    <t>YYYY-MM-DD;HH:MM:SS.mmm;$uid_mainboard$;inv_mainboard;System;Shut Down Button;</t>
  </si>
  <si>
    <t>Size of configuration file [byte] *</t>
  </si>
  <si>
    <t>Size of assembly file [byte] *</t>
  </si>
  <si>
    <t>* Large estimation for future options</t>
  </si>
  <si>
    <t>Message **</t>
  </si>
  <si>
    <t>** Pessimistic size with the more possible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</si>
</sst>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3" xfId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1" fontId="1" fillId="4" borderId="0" xfId="1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4" xfId="0" applyFont="1" applyFill="1" applyBorder="1"/>
    <xf numFmtId="0" fontId="0" fillId="0" borderId="0" xfId="0" quotePrefix="1"/>
    <xf numFmtId="0" fontId="0" fillId="0" borderId="0" xfId="0" applyFill="1" applyBorder="1"/>
    <xf numFmtId="0" fontId="1" fillId="2" borderId="0" xfId="1" applyBorder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/>
    <xf numFmtId="0" fontId="1" fillId="2" borderId="0" xfId="1" applyBorder="1"/>
    <xf numFmtId="0" fontId="4" fillId="0" borderId="0" xfId="0" applyFont="1" applyFill="1" applyBorder="1"/>
    <xf numFmtId="0" fontId="2" fillId="0" borderId="3" xfId="0" applyFont="1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showGridLines="0" tabSelected="1" workbookViewId="0"/>
  </sheetViews>
  <sheetFormatPr baseColWidth="10" defaultRowHeight="15" x14ac:dyDescent="0.25"/>
  <cols>
    <col min="1" max="1" width="8" customWidth="1"/>
    <col min="2" max="2" width="83.85546875" bestFit="1" customWidth="1"/>
    <col min="3" max="3" width="21.7109375" customWidth="1"/>
    <col min="4" max="4" width="11.7109375" customWidth="1"/>
    <col min="5" max="5" width="12.28515625" customWidth="1"/>
    <col min="6" max="6" width="36.5703125" customWidth="1"/>
    <col min="7" max="7" width="17.5703125" customWidth="1"/>
    <col min="8" max="8" width="13.42578125" customWidth="1"/>
  </cols>
  <sheetData>
    <row r="2" spans="2:8" x14ac:dyDescent="0.25">
      <c r="B2" s="29" t="s">
        <v>8</v>
      </c>
      <c r="C2" s="29"/>
      <c r="F2" s="29" t="s">
        <v>13</v>
      </c>
      <c r="G2" s="29"/>
      <c r="H2" s="29"/>
    </row>
    <row r="3" spans="2:8" x14ac:dyDescent="0.25">
      <c r="B3" t="s">
        <v>4</v>
      </c>
      <c r="C3" s="12">
        <v>2</v>
      </c>
      <c r="F3" s="13" t="s">
        <v>14</v>
      </c>
      <c r="G3" s="14" t="s">
        <v>2</v>
      </c>
      <c r="H3" s="14" t="s">
        <v>0</v>
      </c>
    </row>
    <row r="4" spans="2:8" x14ac:dyDescent="0.25">
      <c r="B4" t="s">
        <v>5</v>
      </c>
      <c r="C4" s="12">
        <v>0</v>
      </c>
      <c r="F4" s="3" t="s">
        <v>15</v>
      </c>
      <c r="G4" s="4">
        <v>1</v>
      </c>
      <c r="H4" s="4">
        <f>G4*(C12+C13+$C$20*2)</f>
        <v>143</v>
      </c>
    </row>
    <row r="5" spans="2:8" x14ac:dyDescent="0.25">
      <c r="B5" s="7" t="s">
        <v>6</v>
      </c>
      <c r="C5" s="27">
        <f>C3*1000000000-C4</f>
        <v>2000000000</v>
      </c>
      <c r="F5" s="3" t="s">
        <v>16</v>
      </c>
      <c r="G5" s="4">
        <v>1</v>
      </c>
      <c r="H5" s="4">
        <f>G5*(C19+$C$20)</f>
        <v>80</v>
      </c>
    </row>
    <row r="6" spans="2:8" x14ac:dyDescent="0.25">
      <c r="B6" s="23" t="s">
        <v>36</v>
      </c>
      <c r="C6" s="7">
        <v>512</v>
      </c>
      <c r="F6" s="3" t="s">
        <v>17</v>
      </c>
      <c r="G6" s="4">
        <f>C28</f>
        <v>20</v>
      </c>
      <c r="H6" s="4">
        <f>G6*(C17+$C$20)</f>
        <v>1360</v>
      </c>
    </row>
    <row r="7" spans="2:8" x14ac:dyDescent="0.25">
      <c r="B7" s="25" t="s">
        <v>37</v>
      </c>
      <c r="C7" s="2">
        <v>512</v>
      </c>
      <c r="F7" s="3" t="s">
        <v>27</v>
      </c>
      <c r="G7" s="4">
        <f>C30</f>
        <v>480</v>
      </c>
      <c r="H7" s="4">
        <f>G7*(C18+$C$20)</f>
        <v>31680</v>
      </c>
    </row>
    <row r="8" spans="2:8" x14ac:dyDescent="0.25">
      <c r="B8" s="28" t="s">
        <v>38</v>
      </c>
      <c r="F8" s="3" t="s">
        <v>18</v>
      </c>
      <c r="G8" s="10" t="s">
        <v>20</v>
      </c>
      <c r="H8" s="4">
        <f>C14*2+C15*2+C20*4</f>
        <v>312</v>
      </c>
    </row>
    <row r="9" spans="2:8" x14ac:dyDescent="0.25">
      <c r="F9" s="3" t="s">
        <v>19</v>
      </c>
      <c r="G9" s="10" t="s">
        <v>20</v>
      </c>
      <c r="H9" s="4">
        <f>H8+C16+C20</f>
        <v>392</v>
      </c>
    </row>
    <row r="10" spans="2:8" x14ac:dyDescent="0.25">
      <c r="B10" s="29" t="s">
        <v>7</v>
      </c>
      <c r="C10" s="29"/>
    </row>
    <row r="11" spans="2:8" x14ac:dyDescent="0.25">
      <c r="B11" s="5" t="s">
        <v>39</v>
      </c>
      <c r="C11" s="6" t="s">
        <v>0</v>
      </c>
      <c r="F11" s="29" t="s">
        <v>21</v>
      </c>
      <c r="G11" s="29"/>
      <c r="H11" s="29"/>
    </row>
    <row r="12" spans="2:8" x14ac:dyDescent="0.25">
      <c r="B12" s="26" t="s">
        <v>31</v>
      </c>
      <c r="C12" s="20">
        <f>LEN(B12)</f>
        <v>68</v>
      </c>
      <c r="F12" s="9" t="s">
        <v>3</v>
      </c>
      <c r="G12" s="7"/>
      <c r="H12" s="17">
        <f>C5-C6-C7-SUM(H4:H7)</f>
        <v>1999965713</v>
      </c>
    </row>
    <row r="13" spans="2:8" x14ac:dyDescent="0.25">
      <c r="B13" s="26" t="s">
        <v>32</v>
      </c>
      <c r="C13" s="20">
        <f>LEN(B13)</f>
        <v>71</v>
      </c>
      <c r="F13" s="15" t="s">
        <v>22</v>
      </c>
      <c r="G13" s="7"/>
      <c r="H13" s="18">
        <f>H12/H8</f>
        <v>6410146.516025641</v>
      </c>
    </row>
    <row r="14" spans="2:8" x14ac:dyDescent="0.25">
      <c r="B14" s="26" t="s">
        <v>28</v>
      </c>
      <c r="C14" s="20">
        <f t="shared" ref="C14:C18" si="0">LEN(B14)</f>
        <v>75</v>
      </c>
      <c r="F14" s="15" t="s">
        <v>23</v>
      </c>
      <c r="G14" s="7"/>
      <c r="H14" s="17" t="str">
        <f>INT(H13/3600/24) &amp; "j " &amp; INT((H13-INT(H13/3600/24)*24*3600)/3600) &amp; "h"</f>
        <v>74j 4h</v>
      </c>
    </row>
    <row r="15" spans="2:8" x14ac:dyDescent="0.25">
      <c r="B15" s="26" t="s">
        <v>29</v>
      </c>
      <c r="C15" s="20">
        <f t="shared" si="0"/>
        <v>77</v>
      </c>
      <c r="F15" s="15" t="s">
        <v>22</v>
      </c>
      <c r="G15" s="7"/>
      <c r="H15" s="18">
        <f>H12/H9</f>
        <v>5101953.349489796</v>
      </c>
    </row>
    <row r="16" spans="2:8" x14ac:dyDescent="0.25">
      <c r="B16" s="26" t="s">
        <v>30</v>
      </c>
      <c r="C16" s="20">
        <f t="shared" si="0"/>
        <v>78</v>
      </c>
      <c r="F16" s="16" t="s">
        <v>23</v>
      </c>
      <c r="G16" s="2"/>
      <c r="H16" s="19" t="str">
        <f>INT(H15/3600/24) &amp; "j " &amp; INT((H15-INT(H15/3600/24)*24*3600)/3600) &amp; "h"</f>
        <v>59j 1h</v>
      </c>
    </row>
    <row r="17" spans="2:9" x14ac:dyDescent="0.25">
      <c r="B17" s="26" t="s">
        <v>33</v>
      </c>
      <c r="C17" s="20">
        <f t="shared" si="0"/>
        <v>66</v>
      </c>
    </row>
    <row r="18" spans="2:9" x14ac:dyDescent="0.25">
      <c r="B18" s="26" t="s">
        <v>34</v>
      </c>
      <c r="C18" s="20">
        <f t="shared" si="0"/>
        <v>64</v>
      </c>
    </row>
    <row r="19" spans="2:9" x14ac:dyDescent="0.25">
      <c r="B19" s="26" t="s">
        <v>35</v>
      </c>
      <c r="C19" s="20">
        <f>LEN(B19)</f>
        <v>78</v>
      </c>
    </row>
    <row r="20" spans="2:9" x14ac:dyDescent="0.25">
      <c r="B20" s="1" t="s">
        <v>1</v>
      </c>
      <c r="C20" s="4">
        <v>2</v>
      </c>
    </row>
    <row r="21" spans="2:9" x14ac:dyDescent="0.25">
      <c r="B21" s="21" t="s">
        <v>40</v>
      </c>
      <c r="I21" s="22"/>
    </row>
    <row r="24" spans="2:9" x14ac:dyDescent="0.25">
      <c r="B24" s="29" t="s">
        <v>24</v>
      </c>
      <c r="C24" s="29"/>
    </row>
    <row r="25" spans="2:9" x14ac:dyDescent="0.25">
      <c r="B25" s="7" t="s">
        <v>9</v>
      </c>
      <c r="C25" s="8">
        <v>14</v>
      </c>
    </row>
    <row r="26" spans="2:9" x14ac:dyDescent="0.25">
      <c r="B26" s="7" t="s">
        <v>10</v>
      </c>
      <c r="C26" s="8">
        <v>12</v>
      </c>
    </row>
    <row r="27" spans="2:9" x14ac:dyDescent="0.25">
      <c r="B27" t="s">
        <v>11</v>
      </c>
      <c r="C27" s="11">
        <v>0.1</v>
      </c>
    </row>
    <row r="28" spans="2:9" x14ac:dyDescent="0.25">
      <c r="B28" s="7" t="s">
        <v>12</v>
      </c>
      <c r="C28" s="24">
        <f>(C25-C26)/C27</f>
        <v>20</v>
      </c>
    </row>
    <row r="29" spans="2:9" x14ac:dyDescent="0.25">
      <c r="B29" s="23" t="s">
        <v>25</v>
      </c>
      <c r="C29" s="11">
        <v>20</v>
      </c>
    </row>
    <row r="30" spans="2:9" x14ac:dyDescent="0.25">
      <c r="B30" s="25" t="s">
        <v>26</v>
      </c>
      <c r="C30" s="10">
        <f>C29*24</f>
        <v>480</v>
      </c>
    </row>
  </sheetData>
  <mergeCells count="5">
    <mergeCell ref="B10:C10"/>
    <mergeCell ref="B2:C2"/>
    <mergeCell ref="B24:C24"/>
    <mergeCell ref="F2:H2"/>
    <mergeCell ref="F11:H1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tenaud</dc:creator>
  <cp:lastModifiedBy>benjamin tenaud</cp:lastModifiedBy>
  <dcterms:created xsi:type="dcterms:W3CDTF">2023-04-21T12:37:39Z</dcterms:created>
  <dcterms:modified xsi:type="dcterms:W3CDTF">2023-04-27T09:16:29Z</dcterms:modified>
</cp:coreProperties>
</file>