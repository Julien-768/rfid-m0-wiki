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-110" yWindow="-450" windowWidth="19850" windowHeight="8320" activeTab="1"/>
  </bookViews>
  <sheets>
    <sheet name="Mesures" sheetId="1" r:id="rId1"/>
    <sheet name="Bil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7" i="2"/>
  <c r="B7" i="2"/>
  <c r="C6" i="2"/>
  <c r="C12" i="2" s="1"/>
  <c r="B6" i="2"/>
  <c r="B5" i="2"/>
  <c r="C4" i="2"/>
  <c r="B4" i="2" s="1"/>
  <c r="C11" i="1"/>
  <c r="C11" i="2" s="1"/>
  <c r="B11" i="2" s="1"/>
  <c r="C10" i="1"/>
  <c r="C10" i="2" s="1"/>
  <c r="B10" i="2" s="1"/>
  <c r="B12" i="2" s="1"/>
  <c r="B9" i="1"/>
  <c r="B8" i="1"/>
  <c r="B7" i="1"/>
  <c r="B6" i="1"/>
  <c r="B5" i="1"/>
  <c r="C4" i="1"/>
  <c r="C3" i="1"/>
  <c r="C3" i="2" s="1"/>
  <c r="B3" i="2" s="1"/>
  <c r="C2" i="1"/>
  <c r="C2" i="2" s="1"/>
  <c r="B2" i="2" s="1"/>
</calcChain>
</file>

<file path=xl/sharedStrings.xml><?xml version="1.0" encoding="utf-8"?>
<sst xmlns="http://schemas.openxmlformats.org/spreadsheetml/2006/main" count="29" uniqueCount="27">
  <si>
    <t>Feather M0 + RTC</t>
  </si>
  <si>
    <t>Feather + RTC + RFID allumée au repos</t>
  </si>
  <si>
    <t>Feather + RTC + RFID en acquisition</t>
  </si>
  <si>
    <t>Puissance moyenne W</t>
  </si>
  <si>
    <t>Courant mA</t>
  </si>
  <si>
    <t>RFID allumée au repos</t>
  </si>
  <si>
    <t>RFID en acquisition</t>
  </si>
  <si>
    <t>Puissance moy dissipée W</t>
  </si>
  <si>
    <t>Tension d'alimentation V</t>
  </si>
  <si>
    <t>RFID au repos</t>
  </si>
  <si>
    <t>Courant mA moyen</t>
  </si>
  <si>
    <t>1 Emetteur IR pulsé 36kHz</t>
  </si>
  <si>
    <t>Powerboost</t>
  </si>
  <si>
    <t>2 récepteur IR</t>
  </si>
  <si>
    <r>
      <rPr>
        <b/>
        <sz val="11"/>
        <color rgb="FFFF0000"/>
        <rFont val="Calibri"/>
        <family val="2"/>
        <scheme val="minor"/>
      </rPr>
      <t>Powerboost</t>
    </r>
    <r>
      <rPr>
        <sz val="11"/>
        <color theme="1"/>
        <rFont val="Calibri"/>
        <family val="2"/>
        <scheme val="minor"/>
      </rPr>
      <t xml:space="preserve"> +Feather + RTC</t>
    </r>
  </si>
  <si>
    <r>
      <t xml:space="preserve">Powerboost +Feather + RTC + </t>
    </r>
    <r>
      <rPr>
        <b/>
        <sz val="11"/>
        <color rgb="FFFF0000"/>
        <rFont val="Calibri"/>
        <family val="2"/>
        <scheme val="minor"/>
      </rPr>
      <t>Regulateur5V</t>
    </r>
  </si>
  <si>
    <r>
      <t xml:space="preserve">Powerboost +Feather + RTC + Regulateur5V + </t>
    </r>
    <r>
      <rPr>
        <b/>
        <sz val="11"/>
        <color rgb="FFFF0000"/>
        <rFont val="Calibri"/>
        <family val="2"/>
        <scheme val="minor"/>
      </rPr>
      <t>2 Récep IR</t>
    </r>
  </si>
  <si>
    <r>
      <t xml:space="preserve">Powerboost +Feather + RTC + Regulateur5V + 2 récepteurs + </t>
    </r>
    <r>
      <rPr>
        <b/>
        <sz val="11"/>
        <color rgb="FFFF0000"/>
        <rFont val="Calibri"/>
        <family val="2"/>
        <scheme val="minor"/>
      </rPr>
      <t>1 LED IR pulsé</t>
    </r>
  </si>
  <si>
    <r>
      <t xml:space="preserve">Powerboost +Feather + RTC + Regulateur5V + 2 récepteurs + </t>
    </r>
    <r>
      <rPr>
        <b/>
        <sz val="11"/>
        <color rgb="FFFF0000"/>
        <rFont val="Calibri"/>
        <family val="2"/>
        <scheme val="minor"/>
      </rPr>
      <t xml:space="preserve"> 2 LED IR pulsé</t>
    </r>
  </si>
  <si>
    <r>
      <t xml:space="preserve">Powerboost +Feather + RTC + 2 IR + Regulateur5v + </t>
    </r>
    <r>
      <rPr>
        <b/>
        <sz val="11"/>
        <color rgb="FFFF0000"/>
        <rFont val="Calibri"/>
        <family val="2"/>
        <scheme val="minor"/>
      </rPr>
      <t>RFID au repos</t>
    </r>
  </si>
  <si>
    <r>
      <t xml:space="preserve">Powerboost +Feather + RTC + 2 IR + Regulateur5v + </t>
    </r>
    <r>
      <rPr>
        <b/>
        <sz val="11"/>
        <color rgb="FFFF0000"/>
        <rFont val="Calibri"/>
        <family val="2"/>
        <scheme val="minor"/>
      </rPr>
      <t>RFID en aquisition</t>
    </r>
  </si>
  <si>
    <t>2 Emetteur IR pulsé 36kHz</t>
  </si>
  <si>
    <t>Régulateur 5V</t>
  </si>
  <si>
    <t>Colonne1</t>
  </si>
  <si>
    <t>*Mesure puissance de l'acquisition RFID sur 6,8sec (10 Lectures)</t>
  </si>
  <si>
    <t>Voltage Alim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</si>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</sst>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wrapText="1"/>
    </xf>
    <xf numFmtId="2" fontId="0" fillId="0" borderId="0" xfId="0" applyNumberFormat="1" applyAlignment="1">
      <alignment wrapText="1"/>
    </xf>
    <xf numFmtId="2" fontId="1" fillId="0" borderId="8" xfId="0" applyNumberFormat="1" applyFont="1" applyBorder="1" applyAlignment="1">
      <alignment wrapText="1"/>
    </xf>
    <xf numFmtId="2" fontId="1" fillId="0" borderId="9" xfId="0" applyNumberFormat="1" applyFont="1" applyBorder="1" applyAlignment="1">
      <alignment wrapText="1"/>
    </xf>
    <xf numFmtId="2" fontId="1" fillId="0" borderId="10" xfId="0" applyNumberFormat="1" applyFont="1" applyBorder="1" applyAlignment="1">
      <alignment wrapText="1"/>
    </xf>
    <xf numFmtId="0" fontId="3" fillId="0" borderId="11" xfId="0" applyFont="1" applyFill="1" applyBorder="1" applyAlignment="1">
      <alignment wrapText="1"/>
    </xf>
    <xf numFmtId="2" fontId="3" fillId="0" borderId="11" xfId="0" applyNumberFormat="1" applyFont="1" applyFill="1" applyBorder="1" applyAlignment="1">
      <alignment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D12" totalsRowCount="1" headerRowDxfId="11" dataDxfId="10" totalsRowDxfId="8" tableBorderDxfId="9">
  <autoFilter ref="A1:D11">
    <filterColumn colId="3">
      <filters>
        <filter val="3,60"/>
      </filters>
    </filterColumn>
  </autoFilter>
  <tableColumns count="4">
    <tableColumn id="1" name="Colonne1" totalsRowLabel="Total" dataDxfId="7" totalsRowDxfId="6"/>
    <tableColumn id="2" name="Puissance moy dissipée W" totalsRowFunction="sum" dataDxfId="5" totalsRowDxfId="4">
      <calculatedColumnFormula>Tableau1[[#This Row],[Courant mA moyen]]*Tableau1[[#This Row],[Voltage Alim]]*10^-3</calculatedColumnFormula>
    </tableColumn>
    <tableColumn id="4" name="Courant mA moyen" totalsRowFunction="sum" dataDxfId="3" totalsRowDxfId="2"/>
    <tableColumn id="3" name="Voltage Ali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110" workbookViewId="0">
      <selection activeCell="B10" sqref="B10"/>
    </sheetView>
  </sheetViews>
  <sheetFormatPr baseColWidth="10" defaultColWidth="10.6328125" defaultRowHeight="14.5" x14ac:dyDescent="0.35"/>
  <cols>
    <col min="1" max="1" width="25.81640625" style="1" customWidth="1"/>
    <col min="2" max="2" width="10.7265625" style="1" bestFit="1" customWidth="1"/>
    <col min="3" max="3" width="11.36328125" style="1" bestFit="1" customWidth="1"/>
    <col min="4" max="4" width="12.453125" style="1" customWidth="1"/>
    <col min="5" max="5" width="17.6328125" style="1" customWidth="1"/>
    <col min="6" max="16384" width="10.6328125" style="1"/>
  </cols>
  <sheetData>
    <row r="1" spans="1:4" ht="43.5" x14ac:dyDescent="0.35">
      <c r="A1" s="4"/>
      <c r="B1" s="5" t="s">
        <v>3</v>
      </c>
      <c r="C1" s="6" t="s">
        <v>4</v>
      </c>
      <c r="D1" s="1" t="s">
        <v>8</v>
      </c>
    </row>
    <row r="2" spans="1:4" x14ac:dyDescent="0.35">
      <c r="A2" s="7" t="s">
        <v>0</v>
      </c>
      <c r="B2" s="2">
        <v>9.7000000000000003E-2</v>
      </c>
      <c r="C2" s="8">
        <f>(10^3)*B2/D2</f>
        <v>19.399999999999999</v>
      </c>
      <c r="D2" s="1">
        <v>5</v>
      </c>
    </row>
    <row r="3" spans="1:4" ht="29" x14ac:dyDescent="0.35">
      <c r="A3" s="7" t="s">
        <v>1</v>
      </c>
      <c r="B3" s="2">
        <v>0.18</v>
      </c>
      <c r="C3" s="8">
        <f t="shared" ref="C3:C11" si="0">(10^3)*B3/D3</f>
        <v>36</v>
      </c>
      <c r="D3" s="1">
        <v>5</v>
      </c>
    </row>
    <row r="4" spans="1:4" ht="29.5" thickBot="1" x14ac:dyDescent="0.4">
      <c r="A4" s="9" t="s">
        <v>2</v>
      </c>
      <c r="B4" s="10">
        <v>0.22</v>
      </c>
      <c r="C4" s="8">
        <f t="shared" si="0"/>
        <v>44</v>
      </c>
      <c r="D4" s="1">
        <v>5</v>
      </c>
    </row>
    <row r="5" spans="1:4" x14ac:dyDescent="0.35">
      <c r="A5" s="3" t="s">
        <v>14</v>
      </c>
      <c r="B5" s="2">
        <f>C5*D5*10^-3</f>
        <v>9.8280000000000006E-2</v>
      </c>
      <c r="C5" s="8">
        <v>27.3</v>
      </c>
      <c r="D5" s="1">
        <v>3.6</v>
      </c>
    </row>
    <row r="6" spans="1:4" ht="29" x14ac:dyDescent="0.35">
      <c r="A6" s="3" t="s">
        <v>15</v>
      </c>
      <c r="B6" s="2">
        <f t="shared" ref="B6:B9" si="1">C6*D6*10^-3</f>
        <v>0.12240000000000001</v>
      </c>
      <c r="C6" s="8">
        <v>34</v>
      </c>
      <c r="D6" s="1">
        <v>3.6</v>
      </c>
    </row>
    <row r="7" spans="1:4" ht="29" x14ac:dyDescent="0.35">
      <c r="A7" s="3" t="s">
        <v>16</v>
      </c>
      <c r="B7" s="2">
        <f t="shared" si="1"/>
        <v>0.1368</v>
      </c>
      <c r="C7" s="8">
        <v>38</v>
      </c>
      <c r="D7" s="1">
        <v>3.6</v>
      </c>
    </row>
    <row r="8" spans="1:4" ht="43.5" x14ac:dyDescent="0.35">
      <c r="A8" s="3" t="s">
        <v>17</v>
      </c>
      <c r="B8" s="2">
        <f t="shared" si="1"/>
        <v>0.15659999999999999</v>
      </c>
      <c r="C8" s="8">
        <v>43.5</v>
      </c>
      <c r="D8" s="1">
        <v>3.6</v>
      </c>
    </row>
    <row r="9" spans="1:4" ht="43.5" x14ac:dyDescent="0.35">
      <c r="A9" s="3" t="s">
        <v>18</v>
      </c>
      <c r="B9" s="2">
        <f t="shared" si="1"/>
        <v>0.1764</v>
      </c>
      <c r="C9" s="8">
        <v>49</v>
      </c>
      <c r="D9" s="1">
        <v>3.6</v>
      </c>
    </row>
    <row r="10" spans="1:4" ht="43.5" x14ac:dyDescent="0.35">
      <c r="A10" s="1" t="s">
        <v>19</v>
      </c>
      <c r="B10" s="1">
        <v>0.26</v>
      </c>
      <c r="C10" s="8">
        <f t="shared" si="0"/>
        <v>72.222222222222214</v>
      </c>
      <c r="D10" s="1">
        <v>3.6</v>
      </c>
    </row>
    <row r="11" spans="1:4" ht="43.5" x14ac:dyDescent="0.35">
      <c r="A11" s="1" t="s">
        <v>20</v>
      </c>
      <c r="B11" s="1">
        <v>0.38</v>
      </c>
      <c r="C11" s="8">
        <f t="shared" si="0"/>
        <v>105.55555555555556</v>
      </c>
      <c r="D11" s="1">
        <v>3.6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="110" workbookViewId="0">
      <selection activeCell="C8" sqref="C8"/>
    </sheetView>
  </sheetViews>
  <sheetFormatPr baseColWidth="10" defaultColWidth="10.6328125" defaultRowHeight="14.5" x14ac:dyDescent="0.35"/>
  <cols>
    <col min="1" max="1" width="13.7265625" style="11" customWidth="1"/>
    <col min="2" max="3" width="23.36328125" style="11" customWidth="1"/>
    <col min="4" max="4" width="17.81640625" style="11" customWidth="1"/>
    <col min="5" max="5" width="10.7265625" style="11" bestFit="1" customWidth="1"/>
    <col min="6" max="16384" width="10.6328125" style="11"/>
  </cols>
  <sheetData>
    <row r="1" spans="1:4" x14ac:dyDescent="0.35">
      <c r="A1" s="11" t="s">
        <v>23</v>
      </c>
      <c r="B1" s="11" t="s">
        <v>7</v>
      </c>
      <c r="C1" s="11" t="s">
        <v>10</v>
      </c>
      <c r="D1" s="11" t="s">
        <v>25</v>
      </c>
    </row>
    <row r="2" spans="1:4" ht="29" hidden="1" x14ac:dyDescent="0.35">
      <c r="A2" s="11" t="s">
        <v>0</v>
      </c>
      <c r="B2" s="12">
        <f>Tableau1[[#This Row],[Courant mA moyen]]*Tableau1[[#This Row],[Voltage Alim]]*10^-3</f>
        <v>9.7000000000000003E-2</v>
      </c>
      <c r="C2" s="11">
        <f>Mesures!C2</f>
        <v>19.399999999999999</v>
      </c>
      <c r="D2" s="14">
        <v>5</v>
      </c>
    </row>
    <row r="3" spans="1:4" ht="29" hidden="1" x14ac:dyDescent="0.35">
      <c r="A3" s="11" t="s">
        <v>5</v>
      </c>
      <c r="B3" s="12">
        <f>Tableau1[[#This Row],[Courant mA moyen]]*Tableau1[[#This Row],[Voltage Alim]]*10^-3</f>
        <v>8.3000000000000004E-2</v>
      </c>
      <c r="C3" s="11">
        <f>Mesures!C3-Mesures!C2</f>
        <v>16.600000000000001</v>
      </c>
      <c r="D3" s="12">
        <v>5</v>
      </c>
    </row>
    <row r="4" spans="1:4" ht="29" hidden="1" x14ac:dyDescent="0.35">
      <c r="A4" s="11" t="s">
        <v>6</v>
      </c>
      <c r="B4" s="12">
        <f>Tableau1[[#This Row],[Courant mA moyen]]*Tableau1[[#This Row],[Voltage Alim]]*10^-3</f>
        <v>0.123</v>
      </c>
      <c r="C4" s="11">
        <f>Mesures!C4-Mesures!C2</f>
        <v>24.6</v>
      </c>
      <c r="D4" s="12">
        <v>5</v>
      </c>
    </row>
    <row r="5" spans="1:4" x14ac:dyDescent="0.35">
      <c r="A5" s="12" t="s">
        <v>12</v>
      </c>
      <c r="B5" s="12">
        <f>Tableau1[[#This Row],[Courant mA moyen]]*Tableau1[[#This Row],[Voltage Alim]]*10^-3</f>
        <v>0</v>
      </c>
      <c r="C5" s="12"/>
      <c r="D5" s="12">
        <v>3.6</v>
      </c>
    </row>
    <row r="6" spans="1:4" x14ac:dyDescent="0.35">
      <c r="A6" s="12" t="s">
        <v>22</v>
      </c>
      <c r="B6" s="12">
        <f>Tableau1[[#This Row],[Courant mA moyen]]*Tableau1[[#This Row],[Voltage Alim]]*10^-3</f>
        <v>2.4119999999999999E-2</v>
      </c>
      <c r="C6" s="12">
        <f>Mesures!C6-Mesures!C5</f>
        <v>6.6999999999999993</v>
      </c>
      <c r="D6" s="12">
        <v>3.6</v>
      </c>
    </row>
    <row r="7" spans="1:4" x14ac:dyDescent="0.35">
      <c r="A7" s="12" t="s">
        <v>13</v>
      </c>
      <c r="B7" s="12">
        <f>Tableau1[[#This Row],[Courant mA moyen]]*Tableau1[[#This Row],[Voltage Alim]]*10^-3</f>
        <v>1.4400000000000001E-2</v>
      </c>
      <c r="C7" s="12">
        <f>Mesures!C7-Mesures!C6</f>
        <v>4</v>
      </c>
      <c r="D7" s="12">
        <v>3.6</v>
      </c>
    </row>
    <row r="8" spans="1:4" ht="29" x14ac:dyDescent="0.35">
      <c r="A8" s="12" t="s">
        <v>11</v>
      </c>
      <c r="B8" s="12">
        <f>Tableau1[[#This Row],[Courant mA moyen]]*Tableau1[[#This Row],[Voltage Alim]]*10^-3</f>
        <v>1.9800000000000002E-2</v>
      </c>
      <c r="C8" s="12">
        <f>Mesures!C8-Mesures!C7</f>
        <v>5.5</v>
      </c>
      <c r="D8" s="12">
        <v>3.6</v>
      </c>
    </row>
    <row r="9" spans="1:4" ht="29" x14ac:dyDescent="0.35">
      <c r="A9" s="12" t="s">
        <v>21</v>
      </c>
      <c r="B9" s="12">
        <f>Tableau1[[#This Row],[Courant mA moyen]]*Tableau1[[#This Row],[Voltage Alim]]*10^-3</f>
        <v>3.9600000000000003E-2</v>
      </c>
      <c r="C9" s="12">
        <f>Mesures!C9-Mesures!C7</f>
        <v>11</v>
      </c>
      <c r="D9" s="12">
        <v>3.6</v>
      </c>
    </row>
    <row r="10" spans="1:4" x14ac:dyDescent="0.35">
      <c r="A10" s="12" t="s">
        <v>9</v>
      </c>
      <c r="B10" s="12">
        <f>Tableau1[[#This Row],[Courant mA moyen]]*Tableau1[[#This Row],[Voltage Alim]]*10^-3</f>
        <v>8.359999999999998E-2</v>
      </c>
      <c r="C10" s="12">
        <f>Mesures!C10-Mesures!C9</f>
        <v>23.222222222222214</v>
      </c>
      <c r="D10" s="12">
        <v>3.6</v>
      </c>
    </row>
    <row r="11" spans="1:4" ht="29" x14ac:dyDescent="0.35">
      <c r="A11" s="13" t="s">
        <v>6</v>
      </c>
      <c r="B11" s="12">
        <f>Tableau1[[#This Row],[Courant mA moyen]]*Tableau1[[#This Row],[Voltage Alim]]*10^-3</f>
        <v>0.20360000000000003</v>
      </c>
      <c r="C11" s="13">
        <f>Mesures!C11-Mesures!C9</f>
        <v>56.555555555555557</v>
      </c>
      <c r="D11" s="12">
        <v>3.6</v>
      </c>
    </row>
    <row r="12" spans="1:4" x14ac:dyDescent="0.35">
      <c r="A12" s="15" t="s">
        <v>26</v>
      </c>
      <c r="B12" s="16">
        <f>SUBTOTAL(109,Tableau1[Puissance moy dissipée W])</f>
        <v>0.38512000000000002</v>
      </c>
      <c r="C12" s="16">
        <f>SUBTOTAL(109,Tableau1[Courant mA moyen])</f>
        <v>106.97777777777777</v>
      </c>
      <c r="D12" s="16"/>
    </row>
    <row r="14" spans="1:4" ht="72.5" x14ac:dyDescent="0.35">
      <c r="A14" s="11" t="s">
        <v>24</v>
      </c>
    </row>
  </sheetData>
  <conditionalFormatting sqref="B1:B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Mesures</vt:lpstr>
      <vt:lpstr>Bilan</vt:lpstr>
    </vt:vector>
  </TitlesOfParts>
  <Company>IPHC IN2P3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lafoux</dc:creator>
  <cp:lastModifiedBy>Julien</cp:lastModifiedBy>
  <dcterms:created xsi:type="dcterms:W3CDTF">2022-05-06T13:38:12Z</dcterms:created>
  <dcterms:modified xsi:type="dcterms:W3CDTF">2023-01-26T08:39:07Z</dcterms:modified>
</cp:coreProperties>
</file>