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40" yWindow="40" windowWidth="10310" windowHeight="37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 s="1"/>
  <c r="D7" i="1" s="1"/>
  <c r="B5" i="1"/>
  <c r="B8" i="1" l="1"/>
  <c r="B9" i="1" s="1"/>
</calcChain>
</file>

<file path=xl/sharedStrings.xml><?xml version="1.0" encoding="utf-8"?>
<sst xmlns="http://schemas.openxmlformats.org/spreadsheetml/2006/main" count="15" uniqueCount="15">
  <si>
    <t>Voltage pile (V)</t>
  </si>
  <si>
    <t>capacité 1 batterie (Ah)</t>
  </si>
  <si>
    <t>nombre de pile AA</t>
  </si>
  <si>
    <t>énergie totale (Wh)</t>
  </si>
  <si>
    <t>Energie disponible:</t>
  </si>
  <si>
    <t>Consommation:</t>
  </si>
  <si>
    <t>conso au repos (W)</t>
  </si>
  <si>
    <t>conso en détection (W)</t>
  </si>
  <si>
    <t>Autonomie (heures):</t>
  </si>
  <si>
    <t>Autonomie (jours)</t>
  </si>
  <si>
    <t>temps d'une détection [10 lectures RFID]  (heure)</t>
  </si>
  <si>
    <t>Consommation en Wh</t>
  </si>
  <si>
    <t>temps de détection par h</t>
  </si>
  <si>
    <t>Nombre de détections par h</t>
  </si>
  <si>
    <t>énergie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</si>
</sst>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2" fontId="0" fillId="0" borderId="0" xfId="0" applyNumberFormat="1"/>
    <xf numFmtId="2" fontId="2" fillId="0" borderId="2" xfId="0" applyNumberFormat="1" applyFont="1" applyBorder="1"/>
    <xf numFmtId="164" fontId="2" fillId="0" borderId="4" xfId="0" applyNumberFormat="1" applyFont="1" applyBorder="1"/>
    <xf numFmtId="0" fontId="1" fillId="0" borderId="1" xfId="0" applyFont="1" applyBorder="1"/>
    <xf numFmtId="0" fontId="1" fillId="0" borderId="3" xfId="0" applyFont="1" applyBorder="1"/>
    <xf numFmtId="11" fontId="0" fillId="0" borderId="0" xfId="0" applyNumberFormat="1"/>
    <xf numFmtId="2" fontId="2" fillId="0" borderId="0" xfId="0" applyNumberFormat="1" applyFont="1" applyBorder="1"/>
    <xf numFmtId="164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9" sqref="A1:D9"/>
    </sheetView>
  </sheetViews>
  <sheetFormatPr baseColWidth="10" defaultRowHeight="14.5" x14ac:dyDescent="0.35"/>
  <cols>
    <col min="1" max="1" width="24.90625" customWidth="1"/>
    <col min="3" max="3" width="28.08984375" customWidth="1"/>
  </cols>
  <sheetData>
    <row r="1" spans="1:4" x14ac:dyDescent="0.35">
      <c r="A1" s="1" t="s">
        <v>4</v>
      </c>
      <c r="B1" s="1"/>
      <c r="C1" s="1" t="s">
        <v>5</v>
      </c>
      <c r="D1" s="1" t="s">
        <v>14</v>
      </c>
    </row>
    <row r="2" spans="1:4" x14ac:dyDescent="0.35">
      <c r="A2" t="s">
        <v>2</v>
      </c>
      <c r="B2">
        <v>12</v>
      </c>
      <c r="C2" t="s">
        <v>13</v>
      </c>
      <c r="D2">
        <v>50</v>
      </c>
    </row>
    <row r="3" spans="1:4" x14ac:dyDescent="0.35">
      <c r="A3" t="s">
        <v>1</v>
      </c>
      <c r="B3">
        <v>2.7</v>
      </c>
      <c r="C3" t="s">
        <v>6</v>
      </c>
      <c r="D3">
        <v>0.26</v>
      </c>
    </row>
    <row r="4" spans="1:4" x14ac:dyDescent="0.35">
      <c r="A4" t="s">
        <v>0</v>
      </c>
      <c r="B4">
        <v>1.2</v>
      </c>
      <c r="C4" t="s">
        <v>7</v>
      </c>
      <c r="D4">
        <v>0.38</v>
      </c>
    </row>
    <row r="5" spans="1:4" ht="29" x14ac:dyDescent="0.35">
      <c r="A5" t="s">
        <v>3</v>
      </c>
      <c r="B5">
        <f>B2*B3*B4</f>
        <v>38.880000000000003</v>
      </c>
      <c r="C5" s="2" t="s">
        <v>10</v>
      </c>
      <c r="D5" s="8">
        <f>6.8*1/3600</f>
        <v>1.8888888888888887E-3</v>
      </c>
    </row>
    <row r="6" spans="1:4" x14ac:dyDescent="0.35">
      <c r="C6" s="2" t="s">
        <v>12</v>
      </c>
      <c r="D6" s="3">
        <f>D5*D2</f>
        <v>9.4444444444444442E-2</v>
      </c>
    </row>
    <row r="7" spans="1:4" ht="15" thickBot="1" x14ac:dyDescent="0.4">
      <c r="C7" t="s">
        <v>11</v>
      </c>
      <c r="D7" s="3">
        <f>D4*D6+D3*(1-D6)</f>
        <v>0.27133333333333332</v>
      </c>
    </row>
    <row r="8" spans="1:4" x14ac:dyDescent="0.35">
      <c r="A8" s="6" t="s">
        <v>8</v>
      </c>
      <c r="B8" s="4">
        <f>B5/D7</f>
        <v>143.29238329238331</v>
      </c>
      <c r="C8" s="9"/>
    </row>
    <row r="9" spans="1:4" ht="15" thickBot="1" x14ac:dyDescent="0.4">
      <c r="A9" s="7" t="s">
        <v>9</v>
      </c>
      <c r="B9" s="5">
        <f>B8/24</f>
        <v>5.9705159705159714</v>
      </c>
      <c r="C9" s="10"/>
    </row>
  </sheetData>
  <pageMargins left="0.7" right="0.7" top="0.75" bottom="0.75" header="0.3" footer="0.3"/>
  <pageSetup paperSize="9" orientation="portrait" horizontalDpi="1200" verticalDpi="1200" r:id="rId1"/>
  <webPublishItems count="1">
    <webPublishItem id="5381" divId="Feuille de calcul dans Antenne Terrier Notes Techniques_5381" sourceType="range" sourceRef="A1:D9" destinationFile="C:\Users\Julien\Documents\Source\Repos\RFID_M0\rfid_m0.wiki\docs\media\consumption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IPHC IN2P3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lafoux</dc:creator>
  <cp:lastModifiedBy>Julien</cp:lastModifiedBy>
  <dcterms:created xsi:type="dcterms:W3CDTF">2022-05-04T14:25:39Z</dcterms:created>
  <dcterms:modified xsi:type="dcterms:W3CDTF">2023-01-26T09:06:37Z</dcterms:modified>
</cp:coreProperties>
</file>